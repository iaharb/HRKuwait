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hrportal\docs\"/>
    </mc:Choice>
  </mc:AlternateContent>
  <xr:revisionPtr revIDLastSave="0" documentId="13_ncr:1_{F6E59489-89D1-41D2-BFB4-0D8D964EB04A}" xr6:coauthVersionLast="47" xr6:coauthVersionMax="47" xr10:uidLastSave="{00000000-0000-0000-0000-000000000000}"/>
  <bookViews>
    <workbookView xWindow="-110" yWindow="-110" windowWidth="19420" windowHeight="10300" xr2:uid="{461494F0-5780-47EA-B1B9-BB98E39503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8" i="1" l="1"/>
  <c r="AA17" i="1"/>
  <c r="AA21" i="1"/>
  <c r="AA28" i="1" s="1"/>
  <c r="AA16" i="1"/>
  <c r="AA15" i="1"/>
  <c r="AA12" i="1"/>
  <c r="AA20" i="1" s="1"/>
  <c r="AA11" i="1"/>
  <c r="AA25" i="1" s="1"/>
  <c r="AA10" i="1"/>
  <c r="H19" i="2"/>
  <c r="H18" i="2"/>
  <c r="H17" i="2"/>
  <c r="C30" i="1"/>
  <c r="H10" i="2"/>
  <c r="G10" i="2"/>
  <c r="F10" i="2"/>
  <c r="B10" i="2"/>
  <c r="E10" i="2"/>
  <c r="D10" i="2"/>
  <c r="C10" i="2"/>
  <c r="H45" i="1"/>
  <c r="J42" i="1"/>
  <c r="G48" i="1"/>
  <c r="G42" i="1"/>
  <c r="G50" i="1" s="1"/>
  <c r="C12" i="1"/>
  <c r="G12" i="1"/>
  <c r="K12" i="1"/>
  <c r="K20" i="1" s="1"/>
  <c r="G51" i="1"/>
  <c r="G58" i="1" s="1"/>
  <c r="G46" i="1"/>
  <c r="G45" i="1"/>
  <c r="G41" i="1"/>
  <c r="G49" i="1" s="1"/>
  <c r="G55" i="1" s="1"/>
  <c r="G40" i="1"/>
  <c r="G47" i="1" s="1"/>
  <c r="C28" i="1"/>
  <c r="C25" i="1"/>
  <c r="C24" i="1"/>
  <c r="C23" i="1"/>
  <c r="C22" i="1"/>
  <c r="G28" i="1"/>
  <c r="G27" i="1"/>
  <c r="G26" i="1"/>
  <c r="G29" i="1" s="1"/>
  <c r="G25" i="1"/>
  <c r="G24" i="1"/>
  <c r="G23" i="1"/>
  <c r="G22" i="1"/>
  <c r="K28" i="1"/>
  <c r="K25" i="1"/>
  <c r="K24" i="1"/>
  <c r="K23" i="1"/>
  <c r="K22" i="1"/>
  <c r="O28" i="1"/>
  <c r="O27" i="1"/>
  <c r="O26" i="1"/>
  <c r="O29" i="1" s="1"/>
  <c r="O25" i="1"/>
  <c r="O24" i="1"/>
  <c r="O23" i="1"/>
  <c r="O22" i="1"/>
  <c r="S28" i="1"/>
  <c r="S27" i="1"/>
  <c r="S26" i="1"/>
  <c r="S29" i="1" s="1"/>
  <c r="S25" i="1"/>
  <c r="S24" i="1"/>
  <c r="S23" i="1"/>
  <c r="S22" i="1"/>
  <c r="W26" i="1"/>
  <c r="W29" i="1"/>
  <c r="W28" i="1"/>
  <c r="W27" i="1"/>
  <c r="C21" i="1"/>
  <c r="G21" i="1"/>
  <c r="K21" i="1"/>
  <c r="O21" i="1"/>
  <c r="S21" i="1"/>
  <c r="W21" i="1"/>
  <c r="C19" i="1"/>
  <c r="O19" i="1"/>
  <c r="S19" i="1"/>
  <c r="W16" i="1"/>
  <c r="W15" i="1"/>
  <c r="W12" i="1"/>
  <c r="W20" i="1" s="1"/>
  <c r="W11" i="1"/>
  <c r="W19" i="1" s="1"/>
  <c r="W25" i="1" s="1"/>
  <c r="W10" i="1"/>
  <c r="W17" i="1" s="1"/>
  <c r="W23" i="1" s="1"/>
  <c r="S16" i="1"/>
  <c r="S15" i="1"/>
  <c r="O12" i="1"/>
  <c r="S12" i="1"/>
  <c r="S20" i="1" s="1"/>
  <c r="S11" i="1"/>
  <c r="S18" i="1" s="1"/>
  <c r="S10" i="1"/>
  <c r="S17" i="1" s="1"/>
  <c r="O20" i="1"/>
  <c r="O16" i="1"/>
  <c r="O15" i="1"/>
  <c r="O11" i="1"/>
  <c r="O18" i="1" s="1"/>
  <c r="O10" i="1"/>
  <c r="O17" i="1" s="1"/>
  <c r="K11" i="1"/>
  <c r="K18" i="1" s="1"/>
  <c r="K10" i="1"/>
  <c r="K17" i="1" s="1"/>
  <c r="G20" i="1"/>
  <c r="G10" i="1"/>
  <c r="C10" i="1"/>
  <c r="K16" i="1"/>
  <c r="K15" i="1"/>
  <c r="G15" i="1"/>
  <c r="G16" i="1"/>
  <c r="G11" i="1"/>
  <c r="G19" i="1" s="1"/>
  <c r="C11" i="1"/>
  <c r="C18" i="1" s="1"/>
  <c r="C15" i="1"/>
  <c r="C14" i="1"/>
  <c r="AA23" i="1" l="1"/>
  <c r="AA27" i="1"/>
  <c r="AA26" i="1"/>
  <c r="AA24" i="1"/>
  <c r="K26" i="1"/>
  <c r="K29" i="1" s="1"/>
  <c r="K27" i="1"/>
  <c r="G53" i="1"/>
  <c r="G57" i="1"/>
  <c r="G56" i="1"/>
  <c r="G54" i="1"/>
  <c r="W18" i="1"/>
  <c r="W24" i="1" s="1"/>
  <c r="K19" i="1"/>
  <c r="C20" i="1"/>
  <c r="G17" i="1"/>
  <c r="G18" i="1"/>
  <c r="C17" i="1"/>
  <c r="C16" i="1"/>
  <c r="AA22" i="1" l="1"/>
  <c r="AA29" i="1" s="1"/>
  <c r="C27" i="1"/>
  <c r="C26" i="1"/>
  <c r="C29" i="1" s="1"/>
  <c r="G52" i="1"/>
  <c r="G59" i="1" s="1"/>
  <c r="W22" i="1"/>
</calcChain>
</file>

<file path=xl/sharedStrings.xml><?xml version="1.0" encoding="utf-8"?>
<sst xmlns="http://schemas.openxmlformats.org/spreadsheetml/2006/main" count="329" uniqueCount="62">
  <si>
    <t>layla</t>
  </si>
  <si>
    <t>sarah</t>
  </si>
  <si>
    <t>faisal</t>
  </si>
  <si>
    <t>john</t>
  </si>
  <si>
    <t>Ahmed</t>
  </si>
  <si>
    <t>Lv Start</t>
  </si>
  <si>
    <t>Lv End</t>
  </si>
  <si>
    <t>Base Salary</t>
  </si>
  <si>
    <t xml:space="preserve">Allowance </t>
  </si>
  <si>
    <t>Salary Rate</t>
  </si>
  <si>
    <t>Allowance Rate</t>
  </si>
  <si>
    <t>Wrk days before lv</t>
  </si>
  <si>
    <t>January First</t>
  </si>
  <si>
    <t>February First</t>
  </si>
  <si>
    <t>Wrk days after lv</t>
  </si>
  <si>
    <t>January End</t>
  </si>
  <si>
    <t>Tech. Deductable</t>
  </si>
  <si>
    <t>Wrk Days Pay before Lv</t>
  </si>
  <si>
    <t>Lv Days Pay</t>
  </si>
  <si>
    <t>Lv Days</t>
  </si>
  <si>
    <t>Lv. Days Allowance Pay</t>
  </si>
  <si>
    <t>Wrk Days Pay after Lv</t>
  </si>
  <si>
    <t>PIFSS Deduction</t>
  </si>
  <si>
    <t>sick leave</t>
  </si>
  <si>
    <t>Lv Pay</t>
  </si>
  <si>
    <t>Wrk Pay</t>
  </si>
  <si>
    <t>February End</t>
  </si>
  <si>
    <t>Emergency</t>
  </si>
  <si>
    <t>Sick Segment</t>
  </si>
  <si>
    <t>0 Deductions</t>
  </si>
  <si>
    <t>inclusive</t>
  </si>
  <si>
    <t>plus 1</t>
  </si>
  <si>
    <t>emergency leave</t>
  </si>
  <si>
    <t>annual leave</t>
  </si>
  <si>
    <t>0% Deduction</t>
  </si>
  <si>
    <t>lva Pay</t>
  </si>
  <si>
    <t>less 1 day</t>
  </si>
  <si>
    <t>Current Month</t>
  </si>
  <si>
    <t>annual</t>
  </si>
  <si>
    <t>No Allowance</t>
  </si>
  <si>
    <t>annual - straddle</t>
  </si>
  <si>
    <t>Transport Deductible</t>
  </si>
  <si>
    <t>Base + Allowance (Monthly Payroll)</t>
  </si>
  <si>
    <t>Wrk. (Base + Allowance) (Leave Payroll)</t>
  </si>
  <si>
    <t>Sick Lv. (Base &amp; 0% Deduction Seg 1) (Leave Payroll)</t>
  </si>
  <si>
    <t>Sick Lv. (Allowance &amp; 0% Deduction Seg 1) (Leave Payroll)</t>
  </si>
  <si>
    <t>Lv (Base) (Leave Payroll)</t>
  </si>
  <si>
    <t>Lv (only Housing allowance Included) (Leave Payroll)</t>
  </si>
  <si>
    <t>sick</t>
  </si>
  <si>
    <t>Allowance</t>
  </si>
  <si>
    <t>Housing Non-deductible</t>
  </si>
  <si>
    <t>Expat</t>
  </si>
  <si>
    <t>Kuwaiti</t>
  </si>
  <si>
    <t>for Kuwaiti Only (11.5% of Base)</t>
  </si>
  <si>
    <t>wd_pay+ld_pay+lda_pay+pf</t>
  </si>
  <si>
    <t>Payroll Pay</t>
  </si>
  <si>
    <t>Leave Pay</t>
  </si>
  <si>
    <t>Wrk before Lv</t>
  </si>
  <si>
    <t>Net Transaction Pay</t>
  </si>
  <si>
    <t>wd</t>
  </si>
  <si>
    <t>September End</t>
  </si>
  <si>
    <t>October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</si>
</sst>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F172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4" fontId="2" fillId="0" borderId="0" xfId="0" applyNumberFormat="1" applyFont="1" applyAlignment="1">
      <alignment horizontal="right" vertical="center" wrapText="1"/>
    </xf>
    <xf numFmtId="2" fontId="0" fillId="0" borderId="0" xfId="0" applyNumberFormat="1"/>
    <xf numFmtId="0" fontId="0" fillId="0" borderId="0" xfId="0" applyAlignment="1">
      <alignment horizontal="right"/>
    </xf>
    <xf numFmtId="164" fontId="1" fillId="0" borderId="0" xfId="0" applyNumberFormat="1" applyFont="1"/>
    <xf numFmtId="0" fontId="0" fillId="0" borderId="0" xfId="0" quotePrefix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6A2D-3AC9-4114-8B39-1D0D1002F4FE}">
  <dimension ref="B2:AB59"/>
  <sheetViews>
    <sheetView tabSelected="1" topLeftCell="U8" zoomScale="85" zoomScaleNormal="85" workbookViewId="0">
      <selection activeCell="AA29" sqref="AA29"/>
    </sheetView>
  </sheetViews>
  <sheetFormatPr defaultRowHeight="14.5" x14ac:dyDescent="0.35"/>
  <cols>
    <col min="1" max="1" width="3" customWidth="1"/>
    <col min="2" max="2" width="19.81640625" bestFit="1" customWidth="1"/>
    <col min="4" max="4" width="48" bestFit="1" customWidth="1"/>
    <col min="5" max="5" width="3.6328125" customWidth="1"/>
    <col min="6" max="6" width="19.81640625" bestFit="1" customWidth="1"/>
    <col min="8" max="8" width="43.7265625" bestFit="1" customWidth="1"/>
    <col min="9" max="9" width="3.90625" customWidth="1"/>
    <col min="10" max="10" width="19.90625" bestFit="1" customWidth="1"/>
    <col min="11" max="11" width="15.36328125" customWidth="1"/>
    <col min="12" max="12" width="43.7265625" bestFit="1" customWidth="1"/>
    <col min="13" max="13" width="3.81640625" customWidth="1"/>
    <col min="14" max="14" width="19.90625" bestFit="1" customWidth="1"/>
    <col min="15" max="15" width="11.7265625" bestFit="1" customWidth="1"/>
    <col min="16" max="16" width="43.7265625" bestFit="1" customWidth="1"/>
    <col min="17" max="17" width="4.36328125" customWidth="1"/>
    <col min="18" max="18" width="19.90625" bestFit="1" customWidth="1"/>
    <col min="20" max="20" width="43.7265625" bestFit="1" customWidth="1"/>
    <col min="21" max="21" width="4.08984375" customWidth="1"/>
    <col min="22" max="22" width="19.90625" bestFit="1" customWidth="1"/>
    <col min="23" max="23" width="12.36328125" bestFit="1" customWidth="1"/>
    <col min="24" max="24" width="43.7265625" bestFit="1" customWidth="1"/>
    <col min="25" max="25" width="4.36328125" customWidth="1"/>
    <col min="26" max="26" width="20.7265625" bestFit="1" customWidth="1"/>
    <col min="28" max="28" width="44.81640625" bestFit="1" customWidth="1"/>
  </cols>
  <sheetData>
    <row r="2" spans="2:28" x14ac:dyDescent="0.35">
      <c r="H2" s="3"/>
      <c r="L2" s="8"/>
    </row>
    <row r="4" spans="2:28" x14ac:dyDescent="0.35">
      <c r="B4" s="7" t="s">
        <v>52</v>
      </c>
      <c r="C4" s="2" t="s">
        <v>4</v>
      </c>
      <c r="D4" s="2" t="s">
        <v>23</v>
      </c>
      <c r="F4" s="2" t="s">
        <v>52</v>
      </c>
      <c r="G4" s="2" t="s">
        <v>2</v>
      </c>
      <c r="H4" s="2" t="s">
        <v>32</v>
      </c>
      <c r="J4" s="2" t="s">
        <v>52</v>
      </c>
      <c r="K4" s="2" t="s">
        <v>2</v>
      </c>
      <c r="L4" s="2" t="s">
        <v>33</v>
      </c>
      <c r="N4" s="2" t="s">
        <v>52</v>
      </c>
      <c r="O4" s="2" t="s">
        <v>1</v>
      </c>
      <c r="P4" s="2" t="s">
        <v>33</v>
      </c>
      <c r="R4" s="2" t="s">
        <v>52</v>
      </c>
      <c r="S4" s="2" t="s">
        <v>0</v>
      </c>
      <c r="T4" s="2" t="s">
        <v>33</v>
      </c>
      <c r="U4" s="2"/>
      <c r="V4" s="2" t="s">
        <v>51</v>
      </c>
      <c r="W4" s="2" t="s">
        <v>3</v>
      </c>
      <c r="X4" s="2" t="s">
        <v>23</v>
      </c>
      <c r="Z4" s="2" t="s">
        <v>51</v>
      </c>
      <c r="AA4" s="2" t="s">
        <v>3</v>
      </c>
      <c r="AB4" s="2" t="s">
        <v>23</v>
      </c>
    </row>
    <row r="5" spans="2:28" x14ac:dyDescent="0.35">
      <c r="B5" s="1" t="s">
        <v>12</v>
      </c>
      <c r="C5" s="3">
        <v>46023</v>
      </c>
      <c r="F5" t="s">
        <v>13</v>
      </c>
      <c r="G5" s="3">
        <v>46054</v>
      </c>
      <c r="J5" s="1" t="s">
        <v>12</v>
      </c>
      <c r="K5" s="3">
        <v>46023</v>
      </c>
      <c r="N5" s="1" t="s">
        <v>12</v>
      </c>
      <c r="O5" s="3">
        <v>46023</v>
      </c>
      <c r="R5" s="1" t="s">
        <v>12</v>
      </c>
      <c r="S5" s="3">
        <v>46023</v>
      </c>
      <c r="V5" t="s">
        <v>13</v>
      </c>
      <c r="W5" s="3">
        <v>46054</v>
      </c>
      <c r="Z5" t="s">
        <v>61</v>
      </c>
      <c r="AA5" s="3">
        <v>46296</v>
      </c>
    </row>
    <row r="6" spans="2:28" x14ac:dyDescent="0.35">
      <c r="B6" s="1" t="s">
        <v>15</v>
      </c>
      <c r="C6" s="3">
        <v>46053</v>
      </c>
      <c r="F6" t="s">
        <v>26</v>
      </c>
      <c r="G6" s="3">
        <v>46081</v>
      </c>
      <c r="J6" s="1" t="s">
        <v>15</v>
      </c>
      <c r="K6" s="3">
        <v>46053</v>
      </c>
      <c r="N6" s="1" t="s">
        <v>15</v>
      </c>
      <c r="O6" s="3">
        <v>46053</v>
      </c>
      <c r="R6" s="1" t="s">
        <v>15</v>
      </c>
      <c r="S6" s="3">
        <v>46053</v>
      </c>
      <c r="V6" t="s">
        <v>26</v>
      </c>
      <c r="W6" s="3">
        <v>46081</v>
      </c>
      <c r="Z6" t="s">
        <v>60</v>
      </c>
      <c r="AA6" s="3">
        <v>46326</v>
      </c>
    </row>
    <row r="7" spans="2:28" x14ac:dyDescent="0.35">
      <c r="B7" t="s">
        <v>5</v>
      </c>
      <c r="C7" s="3">
        <v>46026</v>
      </c>
      <c r="D7" t="s">
        <v>23</v>
      </c>
      <c r="F7" t="s">
        <v>5</v>
      </c>
      <c r="G7" s="3">
        <v>46077</v>
      </c>
      <c r="H7" t="s">
        <v>27</v>
      </c>
      <c r="J7" t="s">
        <v>5</v>
      </c>
      <c r="K7" s="3">
        <v>46033</v>
      </c>
      <c r="L7" s="3" t="s">
        <v>38</v>
      </c>
      <c r="N7" t="s">
        <v>5</v>
      </c>
      <c r="O7" s="3">
        <v>46050</v>
      </c>
      <c r="P7" t="s">
        <v>38</v>
      </c>
      <c r="Q7" s="3"/>
      <c r="R7" t="s">
        <v>5</v>
      </c>
      <c r="S7" s="3">
        <v>46040</v>
      </c>
      <c r="T7" t="s">
        <v>38</v>
      </c>
      <c r="V7" t="s">
        <v>5</v>
      </c>
      <c r="W7" s="3">
        <v>46061</v>
      </c>
      <c r="X7" t="s">
        <v>48</v>
      </c>
      <c r="Z7" t="s">
        <v>5</v>
      </c>
      <c r="AA7" s="3">
        <v>46298</v>
      </c>
      <c r="AB7" t="s">
        <v>38</v>
      </c>
    </row>
    <row r="8" spans="2:28" x14ac:dyDescent="0.35">
      <c r="B8" t="s">
        <v>6</v>
      </c>
      <c r="C8" s="3">
        <v>46029</v>
      </c>
      <c r="D8" t="s">
        <v>23</v>
      </c>
      <c r="F8" t="s">
        <v>6</v>
      </c>
      <c r="G8" s="3">
        <v>46081</v>
      </c>
      <c r="H8" t="s">
        <v>27</v>
      </c>
      <c r="J8" t="s">
        <v>6</v>
      </c>
      <c r="K8" s="3">
        <v>46037</v>
      </c>
      <c r="L8" s="3" t="s">
        <v>38</v>
      </c>
      <c r="N8" t="s">
        <v>6</v>
      </c>
      <c r="O8" s="3">
        <v>46058</v>
      </c>
      <c r="P8" s="3" t="s">
        <v>40</v>
      </c>
      <c r="Q8" s="3"/>
      <c r="R8" t="s">
        <v>6</v>
      </c>
      <c r="S8" s="3">
        <v>46044</v>
      </c>
      <c r="T8" t="s">
        <v>38</v>
      </c>
      <c r="V8" t="s">
        <v>6</v>
      </c>
      <c r="W8" s="3">
        <v>46065</v>
      </c>
      <c r="X8" s="3" t="s">
        <v>48</v>
      </c>
      <c r="Z8" t="s">
        <v>6</v>
      </c>
      <c r="AA8" s="3">
        <v>46305</v>
      </c>
      <c r="AB8" s="3" t="s">
        <v>38</v>
      </c>
    </row>
    <row r="9" spans="2:28" x14ac:dyDescent="0.35">
      <c r="B9" s="7" t="s">
        <v>28</v>
      </c>
      <c r="C9" s="5">
        <v>1</v>
      </c>
      <c r="D9" t="s">
        <v>34</v>
      </c>
      <c r="F9" s="3" t="s">
        <v>28</v>
      </c>
      <c r="G9" s="5">
        <v>1</v>
      </c>
      <c r="H9" t="s">
        <v>29</v>
      </c>
      <c r="J9" s="3" t="s">
        <v>28</v>
      </c>
      <c r="K9" s="5">
        <v>1</v>
      </c>
      <c r="L9" t="s">
        <v>29</v>
      </c>
      <c r="N9" s="3" t="s">
        <v>28</v>
      </c>
      <c r="O9" s="5">
        <v>1</v>
      </c>
      <c r="P9" t="s">
        <v>29</v>
      </c>
      <c r="Q9" s="3"/>
      <c r="R9" s="3" t="s">
        <v>28</v>
      </c>
      <c r="S9" s="5">
        <v>1</v>
      </c>
      <c r="T9" t="s">
        <v>29</v>
      </c>
      <c r="V9" s="3" t="s">
        <v>28</v>
      </c>
      <c r="W9" s="5">
        <v>1</v>
      </c>
      <c r="X9" t="s">
        <v>29</v>
      </c>
      <c r="Z9" s="3" t="s">
        <v>28</v>
      </c>
      <c r="AA9" s="5">
        <v>1</v>
      </c>
      <c r="AB9" t="s">
        <v>29</v>
      </c>
    </row>
    <row r="10" spans="2:28" x14ac:dyDescent="0.35">
      <c r="B10" t="s">
        <v>11</v>
      </c>
      <c r="C10" s="5">
        <f>NETWORKDAYS.INTL(C5,C7-1,"0000100")</f>
        <v>2</v>
      </c>
      <c r="D10" t="s">
        <v>36</v>
      </c>
      <c r="F10" t="s">
        <v>11</v>
      </c>
      <c r="G10" s="5">
        <f>NETWORKDAYS.INTL(G5,G7-1,"0000100")</f>
        <v>20</v>
      </c>
      <c r="H10" t="s">
        <v>36</v>
      </c>
      <c r="J10" t="s">
        <v>11</v>
      </c>
      <c r="K10" s="5">
        <f>NETWORKDAYS.INTL(K5,K7-1,"0000100")</f>
        <v>8</v>
      </c>
      <c r="L10" t="s">
        <v>36</v>
      </c>
      <c r="N10" t="s">
        <v>11</v>
      </c>
      <c r="O10" s="5">
        <f>NETWORKDAYS.INTL(O5,O7-1,"0000100")</f>
        <v>23</v>
      </c>
      <c r="P10" t="s">
        <v>36</v>
      </c>
      <c r="Q10" s="3"/>
      <c r="R10" t="s">
        <v>11</v>
      </c>
      <c r="S10" s="5">
        <f>NETWORKDAYS.INTL(S5,S7-1,"0000100")</f>
        <v>14</v>
      </c>
      <c r="T10" t="s">
        <v>36</v>
      </c>
      <c r="V10" t="s">
        <v>11</v>
      </c>
      <c r="W10" s="5">
        <f>NETWORKDAYS.INTL(W5,W7-1,"0000100")</f>
        <v>6</v>
      </c>
      <c r="X10" t="s">
        <v>36</v>
      </c>
      <c r="Z10" t="s">
        <v>11</v>
      </c>
      <c r="AA10" s="5">
        <f>NETWORKDAYS.INTL(AA5,AA7-1,"0000100")</f>
        <v>1</v>
      </c>
      <c r="AB10" t="s">
        <v>36</v>
      </c>
    </row>
    <row r="11" spans="2:28" x14ac:dyDescent="0.35">
      <c r="B11" t="s">
        <v>19</v>
      </c>
      <c r="C11" s="5">
        <f>NETWORKDAYS.INTL(C7,C8,"0000100")</f>
        <v>4</v>
      </c>
      <c r="D11" t="s">
        <v>30</v>
      </c>
      <c r="F11" t="s">
        <v>19</v>
      </c>
      <c r="G11" s="5">
        <f>NETWORKDAYS.INTL(G7,G8,"0000100")</f>
        <v>4</v>
      </c>
      <c r="H11" t="s">
        <v>30</v>
      </c>
      <c r="J11" t="s">
        <v>19</v>
      </c>
      <c r="K11" s="5">
        <f>NETWORKDAYS.INTL(K7,K8,"0000100")</f>
        <v>5</v>
      </c>
      <c r="L11" t="s">
        <v>30</v>
      </c>
      <c r="N11" t="s">
        <v>19</v>
      </c>
      <c r="O11" s="5">
        <f>NETWORKDAYS.INTL(O7,O8,"0000100")</f>
        <v>8</v>
      </c>
      <c r="P11" t="s">
        <v>30</v>
      </c>
      <c r="Q11" s="3"/>
      <c r="R11" t="s">
        <v>19</v>
      </c>
      <c r="S11" s="5">
        <f>NETWORKDAYS.INTL(S7,S8,"0000100")</f>
        <v>5</v>
      </c>
      <c r="T11" t="s">
        <v>30</v>
      </c>
      <c r="V11" t="s">
        <v>19</v>
      </c>
      <c r="W11" s="5">
        <f>NETWORKDAYS.INTL(W7,W8,"0000100")</f>
        <v>5</v>
      </c>
      <c r="X11" t="s">
        <v>30</v>
      </c>
      <c r="Z11" t="s">
        <v>19</v>
      </c>
      <c r="AA11" s="5">
        <f>NETWORKDAYS.INTL(AA7,AA8,"0000100")</f>
        <v>7</v>
      </c>
      <c r="AB11" t="s">
        <v>30</v>
      </c>
    </row>
    <row r="12" spans="2:28" x14ac:dyDescent="0.35">
      <c r="B12" t="s">
        <v>14</v>
      </c>
      <c r="C12" s="5">
        <f>IF(OR(C8=C6,C8&gt;G6),0,NETWORKDAYS.INTL(C8+1,C6,"0000100"))</f>
        <v>20</v>
      </c>
      <c r="D12" t="s">
        <v>31</v>
      </c>
      <c r="F12" t="s">
        <v>14</v>
      </c>
      <c r="G12" s="5">
        <f>IF(OR(G8=G6,G8&gt;K6),0,NETWORKDAYS.INTL(G8+1,G6,"0000100"))</f>
        <v>0</v>
      </c>
      <c r="H12" t="s">
        <v>37</v>
      </c>
      <c r="J12" t="s">
        <v>14</v>
      </c>
      <c r="K12" s="5">
        <f>IF(OR(K8=K6,K8&gt;O6),0,NETWORKDAYS.INTL(K8+1,K6,"0000100"))</f>
        <v>13</v>
      </c>
      <c r="L12" t="s">
        <v>37</v>
      </c>
      <c r="N12" t="s">
        <v>14</v>
      </c>
      <c r="O12" s="5">
        <f>IF(OR(O8=O6,O8&gt;S6),0,NETWORKDAYS.INTL(O8+1,O6,"0000100"))</f>
        <v>0</v>
      </c>
      <c r="P12" t="s">
        <v>37</v>
      </c>
      <c r="Q12" s="3"/>
      <c r="R12" t="s">
        <v>14</v>
      </c>
      <c r="S12" s="5">
        <f>IF(OR(S8=S6,S8&gt;S6),0,NETWORKDAYS.INTL(S8+1,S6,"0000100"))</f>
        <v>7</v>
      </c>
      <c r="T12" t="s">
        <v>37</v>
      </c>
      <c r="V12" t="s">
        <v>14</v>
      </c>
      <c r="W12" s="5">
        <f>IF(OR(W8=W6,W8&gt;W6),0,NETWORKDAYS.INTL(W8+1,W6,"0000100"))</f>
        <v>13</v>
      </c>
      <c r="X12" t="s">
        <v>37</v>
      </c>
      <c r="Z12" t="s">
        <v>14</v>
      </c>
      <c r="AA12" s="5">
        <f>IF(OR(AA8=AA6,AA8&gt;AA6),0,NETWORKDAYS.INTL(AA8+1,AA6,"0000100"))</f>
        <v>18</v>
      </c>
      <c r="AB12" t="s">
        <v>37</v>
      </c>
    </row>
    <row r="13" spans="2:28" x14ac:dyDescent="0.35">
      <c r="B13" t="s">
        <v>7</v>
      </c>
      <c r="C13">
        <v>3200</v>
      </c>
      <c r="F13" t="s">
        <v>7</v>
      </c>
      <c r="G13">
        <v>7500</v>
      </c>
      <c r="J13" t="s">
        <v>7</v>
      </c>
      <c r="K13">
        <v>7500</v>
      </c>
      <c r="N13" t="s">
        <v>7</v>
      </c>
      <c r="O13">
        <v>2200</v>
      </c>
      <c r="R13" t="s">
        <v>7</v>
      </c>
      <c r="S13">
        <v>3500</v>
      </c>
      <c r="V13" t="s">
        <v>7</v>
      </c>
      <c r="W13">
        <v>1800</v>
      </c>
      <c r="Z13" t="s">
        <v>7</v>
      </c>
      <c r="AA13">
        <v>1500</v>
      </c>
    </row>
    <row r="14" spans="2:28" x14ac:dyDescent="0.35">
      <c r="B14" t="s">
        <v>8</v>
      </c>
      <c r="C14">
        <f>C13*10%</f>
        <v>320</v>
      </c>
      <c r="D14" t="s">
        <v>16</v>
      </c>
      <c r="F14" t="s">
        <v>8</v>
      </c>
      <c r="G14">
        <v>1000</v>
      </c>
      <c r="H14" t="s">
        <v>50</v>
      </c>
      <c r="J14" t="s">
        <v>8</v>
      </c>
      <c r="K14">
        <v>1000</v>
      </c>
      <c r="L14" t="s">
        <v>50</v>
      </c>
      <c r="N14" t="s">
        <v>8</v>
      </c>
      <c r="O14">
        <v>0</v>
      </c>
      <c r="P14" t="s">
        <v>39</v>
      </c>
      <c r="R14" t="s">
        <v>8</v>
      </c>
      <c r="S14">
        <v>150</v>
      </c>
      <c r="T14" t="s">
        <v>41</v>
      </c>
      <c r="V14" t="s">
        <v>49</v>
      </c>
      <c r="W14">
        <v>300</v>
      </c>
      <c r="X14" t="s">
        <v>50</v>
      </c>
      <c r="Z14" t="s">
        <v>49</v>
      </c>
      <c r="AA14">
        <v>70</v>
      </c>
      <c r="AB14" t="s">
        <v>41</v>
      </c>
    </row>
    <row r="15" spans="2:28" x14ac:dyDescent="0.35">
      <c r="B15" t="s">
        <v>9</v>
      </c>
      <c r="C15">
        <f>C13/26</f>
        <v>123.07692307692308</v>
      </c>
      <c r="F15" t="s">
        <v>9</v>
      </c>
      <c r="G15">
        <f>G13/26</f>
        <v>288.46153846153845</v>
      </c>
      <c r="J15" t="s">
        <v>9</v>
      </c>
      <c r="K15">
        <f>K13/26</f>
        <v>288.46153846153845</v>
      </c>
      <c r="N15" t="s">
        <v>9</v>
      </c>
      <c r="O15">
        <f>O13/26</f>
        <v>84.615384615384613</v>
      </c>
      <c r="R15" t="s">
        <v>9</v>
      </c>
      <c r="S15">
        <f>S13/26</f>
        <v>134.61538461538461</v>
      </c>
      <c r="V15" t="s">
        <v>9</v>
      </c>
      <c r="W15">
        <f>W13/26</f>
        <v>69.230769230769226</v>
      </c>
      <c r="Z15" t="s">
        <v>9</v>
      </c>
      <c r="AA15">
        <f>AA13/26</f>
        <v>57.692307692307693</v>
      </c>
    </row>
    <row r="16" spans="2:28" x14ac:dyDescent="0.35">
      <c r="B16" t="s">
        <v>10</v>
      </c>
      <c r="C16">
        <f>C14/26</f>
        <v>12.307692307692308</v>
      </c>
      <c r="F16" t="s">
        <v>10</v>
      </c>
      <c r="G16">
        <f>G14/26</f>
        <v>38.46153846153846</v>
      </c>
      <c r="J16" t="s">
        <v>10</v>
      </c>
      <c r="K16">
        <f>K14/26</f>
        <v>38.46153846153846</v>
      </c>
      <c r="N16" t="s">
        <v>10</v>
      </c>
      <c r="O16">
        <f>O14/26</f>
        <v>0</v>
      </c>
      <c r="R16" t="s">
        <v>10</v>
      </c>
      <c r="S16">
        <f>S14/26</f>
        <v>5.7692307692307692</v>
      </c>
      <c r="V16" t="s">
        <v>10</v>
      </c>
      <c r="W16">
        <f>W14/26</f>
        <v>11.538461538461538</v>
      </c>
      <c r="Z16" t="s">
        <v>10</v>
      </c>
      <c r="AA16">
        <f>AA14/26</f>
        <v>2.6923076923076925</v>
      </c>
    </row>
    <row r="17" spans="2:28" x14ac:dyDescent="0.35">
      <c r="B17" t="s">
        <v>17</v>
      </c>
      <c r="C17">
        <f>C10*(C13+C14)/26</f>
        <v>270.76923076923077</v>
      </c>
      <c r="D17" t="s">
        <v>43</v>
      </c>
      <c r="F17" t="s">
        <v>17</v>
      </c>
      <c r="G17">
        <f>G10*(G13+G14)/26</f>
        <v>6538.4615384615381</v>
      </c>
      <c r="H17" t="s">
        <v>43</v>
      </c>
      <c r="J17" t="s">
        <v>17</v>
      </c>
      <c r="K17">
        <f>K10*(K13+K14)/26</f>
        <v>2615.3846153846152</v>
      </c>
      <c r="L17" t="s">
        <v>43</v>
      </c>
      <c r="N17" t="s">
        <v>17</v>
      </c>
      <c r="O17">
        <f>O10*(O13+O14)/26</f>
        <v>1946.1538461538462</v>
      </c>
      <c r="P17" t="s">
        <v>43</v>
      </c>
      <c r="R17" t="s">
        <v>17</v>
      </c>
      <c r="S17">
        <f>S10*(S13+S14)/26</f>
        <v>1965.3846153846155</v>
      </c>
      <c r="T17" t="s">
        <v>43</v>
      </c>
      <c r="V17" t="s">
        <v>17</v>
      </c>
      <c r="W17">
        <f>W10*(W13+W14)/26</f>
        <v>484.61538461538464</v>
      </c>
      <c r="X17" t="s">
        <v>43</v>
      </c>
      <c r="Z17" t="s">
        <v>17</v>
      </c>
      <c r="AA17">
        <f>AA10*(AA13+AA14)/26</f>
        <v>60.384615384615387</v>
      </c>
      <c r="AB17" t="s">
        <v>43</v>
      </c>
    </row>
    <row r="18" spans="2:28" x14ac:dyDescent="0.35">
      <c r="B18" t="s">
        <v>18</v>
      </c>
      <c r="C18">
        <f>C13/26*C11</f>
        <v>492.30769230769232</v>
      </c>
      <c r="D18" t="s">
        <v>44</v>
      </c>
      <c r="F18" t="s">
        <v>18</v>
      </c>
      <c r="G18">
        <f>G13/26*G11</f>
        <v>1153.8461538461538</v>
      </c>
      <c r="H18" t="s">
        <v>46</v>
      </c>
      <c r="J18" t="s">
        <v>18</v>
      </c>
      <c r="K18">
        <f>K13/26*K11</f>
        <v>1442.3076923076924</v>
      </c>
      <c r="L18" t="s">
        <v>46</v>
      </c>
      <c r="N18" t="s">
        <v>18</v>
      </c>
      <c r="O18">
        <f>O13/26*O11</f>
        <v>676.92307692307691</v>
      </c>
      <c r="P18" t="s">
        <v>46</v>
      </c>
      <c r="R18" t="s">
        <v>18</v>
      </c>
      <c r="S18">
        <f>S13/26*S11</f>
        <v>673.07692307692309</v>
      </c>
      <c r="T18" t="s">
        <v>46</v>
      </c>
      <c r="V18" t="s">
        <v>18</v>
      </c>
      <c r="W18">
        <f>W13/26*W11</f>
        <v>346.15384615384613</v>
      </c>
      <c r="X18" t="s">
        <v>46</v>
      </c>
      <c r="Z18" t="s">
        <v>18</v>
      </c>
      <c r="AA18">
        <f>AA13/26*AA11</f>
        <v>403.84615384615387</v>
      </c>
      <c r="AB18" t="s">
        <v>46</v>
      </c>
    </row>
    <row r="19" spans="2:28" x14ac:dyDescent="0.35">
      <c r="B19" t="s">
        <v>20</v>
      </c>
      <c r="C19">
        <f>IF(ISNUMBER(SEARCH("housing",D14)),C14/26*C11,0)</f>
        <v>0</v>
      </c>
      <c r="D19" t="s">
        <v>45</v>
      </c>
      <c r="F19" t="s">
        <v>20</v>
      </c>
      <c r="G19">
        <f>IF(ISNUMBER(SEARCH("housing",H14)),G14/26*G11,0)</f>
        <v>153.84615384615384</v>
      </c>
      <c r="H19" t="s">
        <v>47</v>
      </c>
      <c r="J19" t="s">
        <v>20</v>
      </c>
      <c r="K19">
        <f>IF(ISNUMBER(SEARCH("housing",L14)),K14/26*K11,0)</f>
        <v>192.30769230769229</v>
      </c>
      <c r="L19" t="s">
        <v>47</v>
      </c>
      <c r="N19" t="s">
        <v>20</v>
      </c>
      <c r="O19">
        <f>IF(ISNUMBER(SEARCH("housing",P14)),O14/26*O11,0)</f>
        <v>0</v>
      </c>
      <c r="P19" t="s">
        <v>47</v>
      </c>
      <c r="R19" t="s">
        <v>20</v>
      </c>
      <c r="S19">
        <f>IF(ISNUMBER(SEARCH("housing",T14)),S14/26*S11,0)</f>
        <v>0</v>
      </c>
      <c r="T19" t="s">
        <v>47</v>
      </c>
      <c r="V19" t="s">
        <v>20</v>
      </c>
      <c r="W19">
        <f>IF(ISNUMBER(SEARCH("housing",X14)),W14/26*W11,0)</f>
        <v>57.692307692307693</v>
      </c>
      <c r="X19" t="s">
        <v>47</v>
      </c>
      <c r="Z19" t="s">
        <v>20</v>
      </c>
      <c r="AA19">
        <v>100</v>
      </c>
      <c r="AB19" t="s">
        <v>47</v>
      </c>
    </row>
    <row r="20" spans="2:28" x14ac:dyDescent="0.35">
      <c r="B20" t="s">
        <v>21</v>
      </c>
      <c r="C20">
        <f>C12/26*(C13+C14)</f>
        <v>2707.6923076923076</v>
      </c>
      <c r="D20" t="s">
        <v>42</v>
      </c>
      <c r="F20" t="s">
        <v>21</v>
      </c>
      <c r="G20">
        <f>G12/26*(G13+G14)</f>
        <v>0</v>
      </c>
      <c r="H20" t="s">
        <v>42</v>
      </c>
      <c r="J20" t="s">
        <v>21</v>
      </c>
      <c r="K20">
        <f>K12/26*(K13+K14)</f>
        <v>4250</v>
      </c>
      <c r="L20" t="s">
        <v>42</v>
      </c>
      <c r="N20" t="s">
        <v>21</v>
      </c>
      <c r="O20">
        <f>O12/26*(O13+O14)</f>
        <v>0</v>
      </c>
      <c r="P20" t="s">
        <v>42</v>
      </c>
      <c r="R20" t="s">
        <v>21</v>
      </c>
      <c r="S20">
        <f>S12/26*(S13+S14)</f>
        <v>982.69230769230762</v>
      </c>
      <c r="T20" t="s">
        <v>42</v>
      </c>
      <c r="V20" t="s">
        <v>21</v>
      </c>
      <c r="W20">
        <f>W12/26*(W13+W14)</f>
        <v>1050</v>
      </c>
      <c r="X20" t="s">
        <v>42</v>
      </c>
      <c r="Z20" t="s">
        <v>21</v>
      </c>
      <c r="AA20">
        <f>AA12/26*(AA13+AA14)</f>
        <v>1086.9230769230769</v>
      </c>
      <c r="AB20" t="s">
        <v>42</v>
      </c>
    </row>
    <row r="21" spans="2:28" x14ac:dyDescent="0.35">
      <c r="B21" t="s">
        <v>22</v>
      </c>
      <c r="C21">
        <f>-IF(ISNUMBER(SEARCH("Kuwaiti",B4)),C13*11.5%,0)</f>
        <v>-368</v>
      </c>
      <c r="D21" t="s">
        <v>53</v>
      </c>
      <c r="F21" t="s">
        <v>22</v>
      </c>
      <c r="G21">
        <f>-IF(ISNUMBER(SEARCH("Kuwaiti",F4)),G13*11.5%,0)</f>
        <v>-862.5</v>
      </c>
      <c r="H21" t="s">
        <v>53</v>
      </c>
      <c r="J21" t="s">
        <v>22</v>
      </c>
      <c r="K21">
        <f>-IF(ISNUMBER(SEARCH("Kuwaiti",J4)),K13*11.5%,0)</f>
        <v>-862.5</v>
      </c>
      <c r="L21" t="s">
        <v>53</v>
      </c>
      <c r="N21" t="s">
        <v>22</v>
      </c>
      <c r="O21">
        <f>-IF(ISNUMBER(SEARCH("Kuwaiti",N4)),O13*11.5%,0)</f>
        <v>-253</v>
      </c>
      <c r="P21" t="s">
        <v>53</v>
      </c>
      <c r="R21" t="s">
        <v>22</v>
      </c>
      <c r="S21">
        <f>-IF(ISNUMBER(SEARCH("Kuwaiti",R4)),S13*11.5%,0)</f>
        <v>-402.5</v>
      </c>
      <c r="T21" t="s">
        <v>53</v>
      </c>
      <c r="V21" t="s">
        <v>22</v>
      </c>
      <c r="W21">
        <f>-IF(ISNUMBER(SEARCH("Kuwaiti",V4)),W13*11.5%,0)</f>
        <v>0</v>
      </c>
      <c r="X21" t="s">
        <v>53</v>
      </c>
      <c r="Z21" t="s">
        <v>22</v>
      </c>
      <c r="AA21">
        <f>-IF(ISNUMBER(SEARCH("Kuwaiti",Z4)),AA13*11.5%,0)</f>
        <v>0</v>
      </c>
      <c r="AB21" t="s">
        <v>53</v>
      </c>
    </row>
    <row r="22" spans="2:28" s="2" customFormat="1" x14ac:dyDescent="0.35">
      <c r="B22" s="2" t="s">
        <v>56</v>
      </c>
      <c r="C22" s="2">
        <f>C17+C18+C19</f>
        <v>763.07692307692309</v>
      </c>
      <c r="D22" s="2" t="s">
        <v>54</v>
      </c>
      <c r="F22" s="2" t="s">
        <v>56</v>
      </c>
      <c r="G22" s="2">
        <f>G17+G18+G19</f>
        <v>7846.1538461538457</v>
      </c>
      <c r="H22" s="2" t="s">
        <v>54</v>
      </c>
      <c r="J22" s="2" t="s">
        <v>56</v>
      </c>
      <c r="K22" s="2">
        <f>K17+K18+K19</f>
        <v>4250</v>
      </c>
      <c r="L22" s="2" t="s">
        <v>54</v>
      </c>
      <c r="N22" s="2" t="s">
        <v>56</v>
      </c>
      <c r="O22" s="2">
        <f>O17+O18+O19</f>
        <v>2623.0769230769229</v>
      </c>
      <c r="P22" s="2" t="s">
        <v>54</v>
      </c>
      <c r="R22" s="2" t="s">
        <v>56</v>
      </c>
      <c r="S22" s="2">
        <f>S17+S18+S19</f>
        <v>2638.4615384615386</v>
      </c>
      <c r="T22" s="2" t="s">
        <v>54</v>
      </c>
      <c r="V22" s="2" t="s">
        <v>56</v>
      </c>
      <c r="W22" s="2">
        <f>W17+W18+W19</f>
        <v>888.46153846153845</v>
      </c>
      <c r="X22" s="2" t="s">
        <v>54</v>
      </c>
      <c r="Z22" s="2" t="s">
        <v>56</v>
      </c>
      <c r="AA22" s="2">
        <f>AA17+AA18+AA19</f>
        <v>564.23076923076928</v>
      </c>
      <c r="AB22" s="2" t="s">
        <v>54</v>
      </c>
    </row>
    <row r="23" spans="2:28" x14ac:dyDescent="0.35">
      <c r="B23" s="6" t="s">
        <v>57</v>
      </c>
      <c r="C23">
        <f>C17</f>
        <v>270.76923076923077</v>
      </c>
      <c r="F23" s="6" t="s">
        <v>57</v>
      </c>
      <c r="G23">
        <f>G17</f>
        <v>6538.4615384615381</v>
      </c>
      <c r="J23" s="6" t="s">
        <v>57</v>
      </c>
      <c r="K23">
        <f>K17</f>
        <v>2615.3846153846152</v>
      </c>
      <c r="N23" s="6" t="s">
        <v>57</v>
      </c>
      <c r="O23">
        <f>O17</f>
        <v>1946.1538461538462</v>
      </c>
      <c r="R23" s="6" t="s">
        <v>57</v>
      </c>
      <c r="S23">
        <f>S17</f>
        <v>1965.3846153846155</v>
      </c>
      <c r="V23" s="6" t="s">
        <v>57</v>
      </c>
      <c r="W23">
        <f>W17</f>
        <v>484.61538461538464</v>
      </c>
      <c r="Z23" s="6" t="s">
        <v>57</v>
      </c>
      <c r="AA23">
        <f>AA17</f>
        <v>60.384615384615387</v>
      </c>
    </row>
    <row r="24" spans="2:28" x14ac:dyDescent="0.35">
      <c r="B24" s="6" t="s">
        <v>24</v>
      </c>
      <c r="C24">
        <f>C18</f>
        <v>492.30769230769232</v>
      </c>
      <c r="F24" s="6" t="s">
        <v>24</v>
      </c>
      <c r="G24">
        <f>G18</f>
        <v>1153.8461538461538</v>
      </c>
      <c r="J24" s="6" t="s">
        <v>24</v>
      </c>
      <c r="K24">
        <f>K18</f>
        <v>1442.3076923076924</v>
      </c>
      <c r="N24" s="6" t="s">
        <v>24</v>
      </c>
      <c r="O24">
        <f>O18</f>
        <v>676.92307692307691</v>
      </c>
      <c r="R24" s="6" t="s">
        <v>24</v>
      </c>
      <c r="S24">
        <f>S18</f>
        <v>673.07692307692309</v>
      </c>
      <c r="V24" s="6" t="s">
        <v>24</v>
      </c>
      <c r="W24">
        <f>W18</f>
        <v>346.15384615384613</v>
      </c>
      <c r="Z24" s="6" t="s">
        <v>24</v>
      </c>
      <c r="AA24">
        <f>AA18</f>
        <v>403.84615384615387</v>
      </c>
    </row>
    <row r="25" spans="2:28" x14ac:dyDescent="0.35">
      <c r="B25" s="6" t="s">
        <v>35</v>
      </c>
      <c r="C25">
        <f>C19</f>
        <v>0</v>
      </c>
      <c r="F25" s="6" t="s">
        <v>35</v>
      </c>
      <c r="G25">
        <f>G19</f>
        <v>153.84615384615384</v>
      </c>
      <c r="J25" s="6" t="s">
        <v>35</v>
      </c>
      <c r="K25">
        <f>K19</f>
        <v>192.30769230769229</v>
      </c>
      <c r="N25" s="6" t="s">
        <v>35</v>
      </c>
      <c r="O25">
        <f>O19</f>
        <v>0</v>
      </c>
      <c r="R25" s="6" t="s">
        <v>35</v>
      </c>
      <c r="S25">
        <f>S19</f>
        <v>0</v>
      </c>
      <c r="V25" s="6" t="s">
        <v>35</v>
      </c>
      <c r="W25">
        <f>W19</f>
        <v>57.692307692307693</v>
      </c>
      <c r="Z25" s="6" t="s">
        <v>35</v>
      </c>
      <c r="AA25">
        <f>AA19</f>
        <v>100</v>
      </c>
    </row>
    <row r="26" spans="2:28" s="2" customFormat="1" x14ac:dyDescent="0.35">
      <c r="B26" s="9" t="s">
        <v>55</v>
      </c>
      <c r="C26" s="2">
        <f>C20+C21</f>
        <v>2339.6923076923076</v>
      </c>
      <c r="F26" s="9" t="s">
        <v>55</v>
      </c>
      <c r="G26" s="2">
        <f>G20+G21</f>
        <v>-862.5</v>
      </c>
      <c r="J26" s="9" t="s">
        <v>55</v>
      </c>
      <c r="K26" s="2">
        <f>K20+K21</f>
        <v>3387.5</v>
      </c>
      <c r="N26" s="9" t="s">
        <v>55</v>
      </c>
      <c r="O26" s="2">
        <f>O20+O21</f>
        <v>-253</v>
      </c>
      <c r="R26" s="9" t="s">
        <v>55</v>
      </c>
      <c r="S26" s="2">
        <f>S20+S21</f>
        <v>580.19230769230762</v>
      </c>
      <c r="V26" s="9" t="s">
        <v>55</v>
      </c>
      <c r="W26" s="2">
        <f>W20+W21</f>
        <v>1050</v>
      </c>
      <c r="Z26" s="9" t="s">
        <v>55</v>
      </c>
      <c r="AA26" s="2">
        <f>AA20+AA21</f>
        <v>1086.9230769230769</v>
      </c>
    </row>
    <row r="27" spans="2:28" x14ac:dyDescent="0.35">
      <c r="B27" s="6" t="s">
        <v>25</v>
      </c>
      <c r="C27">
        <f>C20</f>
        <v>2707.6923076923076</v>
      </c>
      <c r="F27" s="6" t="s">
        <v>25</v>
      </c>
      <c r="G27">
        <f>G20</f>
        <v>0</v>
      </c>
      <c r="J27" s="6" t="s">
        <v>25</v>
      </c>
      <c r="K27">
        <f>K20</f>
        <v>4250</v>
      </c>
      <c r="N27" s="6" t="s">
        <v>25</v>
      </c>
      <c r="O27">
        <f>O20</f>
        <v>0</v>
      </c>
      <c r="R27" s="6" t="s">
        <v>25</v>
      </c>
      <c r="S27">
        <f>S20</f>
        <v>982.69230769230762</v>
      </c>
      <c r="V27" s="6" t="s">
        <v>25</v>
      </c>
      <c r="W27">
        <f>W20</f>
        <v>1050</v>
      </c>
      <c r="Z27" s="6" t="s">
        <v>25</v>
      </c>
      <c r="AA27">
        <f>AA20</f>
        <v>1086.9230769230769</v>
      </c>
    </row>
    <row r="28" spans="2:28" x14ac:dyDescent="0.35">
      <c r="B28" s="6" t="s">
        <v>22</v>
      </c>
      <c r="C28">
        <f>C21</f>
        <v>-368</v>
      </c>
      <c r="F28" s="6" t="s">
        <v>22</v>
      </c>
      <c r="G28">
        <f>G21</f>
        <v>-862.5</v>
      </c>
      <c r="J28" s="6" t="s">
        <v>22</v>
      </c>
      <c r="K28">
        <f>K21</f>
        <v>-862.5</v>
      </c>
      <c r="N28" s="6" t="s">
        <v>22</v>
      </c>
      <c r="O28">
        <f>O21</f>
        <v>-253</v>
      </c>
      <c r="R28" s="6" t="s">
        <v>22</v>
      </c>
      <c r="S28">
        <f>S21</f>
        <v>-402.5</v>
      </c>
      <c r="V28" s="6" t="s">
        <v>22</v>
      </c>
      <c r="W28">
        <f>W21</f>
        <v>0</v>
      </c>
      <c r="Z28" s="6" t="s">
        <v>22</v>
      </c>
      <c r="AA28">
        <f>AA21</f>
        <v>0</v>
      </c>
    </row>
    <row r="29" spans="2:28" s="2" customFormat="1" x14ac:dyDescent="0.35">
      <c r="B29" s="9" t="s">
        <v>58</v>
      </c>
      <c r="C29" s="2">
        <f>C26+C22</f>
        <v>3102.7692307692305</v>
      </c>
      <c r="F29" s="9" t="s">
        <v>58</v>
      </c>
      <c r="G29" s="2">
        <f>G26+G22</f>
        <v>6983.6538461538457</v>
      </c>
      <c r="J29" s="9" t="s">
        <v>58</v>
      </c>
      <c r="K29" s="2">
        <f>K26+K22</f>
        <v>7637.5</v>
      </c>
      <c r="N29" s="9" t="s">
        <v>58</v>
      </c>
      <c r="O29" s="2">
        <f>O26+O22</f>
        <v>2370.0769230769229</v>
      </c>
      <c r="R29" s="9" t="s">
        <v>58</v>
      </c>
      <c r="S29" s="2">
        <f>S26+S22</f>
        <v>3218.6538461538462</v>
      </c>
      <c r="V29" s="9" t="s">
        <v>58</v>
      </c>
      <c r="W29" s="2">
        <f>W26+W22</f>
        <v>1938.4615384615386</v>
      </c>
      <c r="Z29" s="9" t="s">
        <v>58</v>
      </c>
      <c r="AA29" s="2">
        <f>AA26+AA22</f>
        <v>1651.1538461538462</v>
      </c>
    </row>
    <row r="30" spans="2:28" x14ac:dyDescent="0.35">
      <c r="C30">
        <f>C29+1158.371</f>
        <v>4261.1402307692306</v>
      </c>
      <c r="F30" s="3"/>
      <c r="G30" s="3"/>
    </row>
    <row r="31" spans="2:28" x14ac:dyDescent="0.35">
      <c r="F31" s="3"/>
      <c r="G31" s="3"/>
      <c r="V31" s="6"/>
    </row>
    <row r="32" spans="2:28" x14ac:dyDescent="0.35">
      <c r="O32" s="4"/>
      <c r="V32" s="6"/>
    </row>
    <row r="34" spans="6:10" x14ac:dyDescent="0.35">
      <c r="F34" s="2" t="s">
        <v>52</v>
      </c>
      <c r="G34" s="2" t="s">
        <v>2</v>
      </c>
      <c r="H34" s="2" t="s">
        <v>32</v>
      </c>
    </row>
    <row r="35" spans="6:10" x14ac:dyDescent="0.35">
      <c r="F35" t="s">
        <v>13</v>
      </c>
      <c r="G35" s="3">
        <v>46054</v>
      </c>
    </row>
    <row r="36" spans="6:10" x14ac:dyDescent="0.35">
      <c r="F36" t="s">
        <v>26</v>
      </c>
      <c r="G36" s="3">
        <v>46081</v>
      </c>
    </row>
    <row r="37" spans="6:10" x14ac:dyDescent="0.35">
      <c r="F37" t="s">
        <v>5</v>
      </c>
      <c r="G37" s="3">
        <v>46075</v>
      </c>
      <c r="H37" t="s">
        <v>27</v>
      </c>
    </row>
    <row r="38" spans="6:10" x14ac:dyDescent="0.35">
      <c r="F38" t="s">
        <v>6</v>
      </c>
      <c r="G38" s="3">
        <v>46095</v>
      </c>
      <c r="H38" t="s">
        <v>27</v>
      </c>
    </row>
    <row r="39" spans="6:10" x14ac:dyDescent="0.35">
      <c r="F39" s="3" t="s">
        <v>28</v>
      </c>
      <c r="G39" s="5">
        <v>1</v>
      </c>
      <c r="H39" t="s">
        <v>29</v>
      </c>
    </row>
    <row r="40" spans="6:10" x14ac:dyDescent="0.35">
      <c r="F40" t="s">
        <v>11</v>
      </c>
      <c r="G40" s="5">
        <f>NETWORKDAYS.INTL(G35,G37-1,"0000100")</f>
        <v>18</v>
      </c>
      <c r="H40" t="s">
        <v>36</v>
      </c>
    </row>
    <row r="41" spans="6:10" x14ac:dyDescent="0.35">
      <c r="F41" t="s">
        <v>19</v>
      </c>
      <c r="G41" s="5">
        <f>NETWORKDAYS.INTL(G37,G38,"0000100")</f>
        <v>18</v>
      </c>
      <c r="H41" t="s">
        <v>30</v>
      </c>
    </row>
    <row r="42" spans="6:10" x14ac:dyDescent="0.35">
      <c r="F42" t="s">
        <v>14</v>
      </c>
      <c r="G42" s="5">
        <f>IF(OR(G38=G36,G38&gt;K36),0,NETWORKDAYS.INTL(G38+1,G36,"0000100"))</f>
        <v>0</v>
      </c>
      <c r="H42" t="s">
        <v>37</v>
      </c>
      <c r="J42">
        <f>15*(G43+G44)/26-862.5</f>
        <v>4041.3461538461543</v>
      </c>
    </row>
    <row r="43" spans="6:10" x14ac:dyDescent="0.35">
      <c r="F43" t="s">
        <v>7</v>
      </c>
      <c r="G43">
        <v>7500</v>
      </c>
    </row>
    <row r="44" spans="6:10" x14ac:dyDescent="0.35">
      <c r="F44" t="s">
        <v>8</v>
      </c>
      <c r="G44">
        <v>1000</v>
      </c>
      <c r="H44" t="s">
        <v>50</v>
      </c>
    </row>
    <row r="45" spans="6:10" x14ac:dyDescent="0.35">
      <c r="F45" t="s">
        <v>9</v>
      </c>
      <c r="G45">
        <f>G43/26</f>
        <v>288.46153846153845</v>
      </c>
      <c r="H45">
        <f>G45+G46</f>
        <v>326.92307692307691</v>
      </c>
    </row>
    <row r="46" spans="6:10" x14ac:dyDescent="0.35">
      <c r="F46" t="s">
        <v>10</v>
      </c>
      <c r="G46">
        <f>G44/26</f>
        <v>38.46153846153846</v>
      </c>
    </row>
    <row r="47" spans="6:10" x14ac:dyDescent="0.35">
      <c r="F47" t="s">
        <v>17</v>
      </c>
      <c r="G47">
        <f>G40*(G43+G44)/26</f>
        <v>5884.6153846153848</v>
      </c>
      <c r="H47" t="s">
        <v>43</v>
      </c>
    </row>
    <row r="48" spans="6:10" x14ac:dyDescent="0.35">
      <c r="F48" t="s">
        <v>18</v>
      </c>
      <c r="G48">
        <f>G43/26*G41</f>
        <v>5192.3076923076924</v>
      </c>
      <c r="H48" t="s">
        <v>46</v>
      </c>
    </row>
    <row r="49" spans="6:8" x14ac:dyDescent="0.35">
      <c r="F49" t="s">
        <v>20</v>
      </c>
      <c r="G49">
        <f>IF(ISNUMBER(SEARCH("housing",H44)),G44/26*G41,0)</f>
        <v>692.30769230769226</v>
      </c>
      <c r="H49" t="s">
        <v>47</v>
      </c>
    </row>
    <row r="50" spans="6:8" x14ac:dyDescent="0.35">
      <c r="F50" t="s">
        <v>21</v>
      </c>
      <c r="G50">
        <f>G42/26*(G43+G44)</f>
        <v>0</v>
      </c>
      <c r="H50" t="s">
        <v>42</v>
      </c>
    </row>
    <row r="51" spans="6:8" x14ac:dyDescent="0.35">
      <c r="F51" t="s">
        <v>22</v>
      </c>
      <c r="G51">
        <f>-IF(ISNUMBER(SEARCH("Kuwaiti",F34)),G43*11.5%,0)</f>
        <v>-862.5</v>
      </c>
      <c r="H51" t="s">
        <v>53</v>
      </c>
    </row>
    <row r="52" spans="6:8" x14ac:dyDescent="0.35">
      <c r="F52" s="2" t="s">
        <v>56</v>
      </c>
      <c r="G52" s="2">
        <f>G47+G48+G49</f>
        <v>11769.23076923077</v>
      </c>
      <c r="H52" s="2" t="s">
        <v>54</v>
      </c>
    </row>
    <row r="53" spans="6:8" x14ac:dyDescent="0.35">
      <c r="F53" s="6" t="s">
        <v>57</v>
      </c>
      <c r="G53">
        <f>G47</f>
        <v>5884.6153846153848</v>
      </c>
    </row>
    <row r="54" spans="6:8" x14ac:dyDescent="0.35">
      <c r="F54" s="6" t="s">
        <v>24</v>
      </c>
      <c r="G54">
        <f>G48</f>
        <v>5192.3076923076924</v>
      </c>
    </row>
    <row r="55" spans="6:8" x14ac:dyDescent="0.35">
      <c r="F55" s="6" t="s">
        <v>35</v>
      </c>
      <c r="G55">
        <f>G49</f>
        <v>692.30769230769226</v>
      </c>
    </row>
    <row r="56" spans="6:8" x14ac:dyDescent="0.35">
      <c r="F56" s="9" t="s">
        <v>55</v>
      </c>
      <c r="G56" s="2">
        <f>G50+G51</f>
        <v>-862.5</v>
      </c>
      <c r="H56" s="2"/>
    </row>
    <row r="57" spans="6:8" x14ac:dyDescent="0.35">
      <c r="F57" s="6" t="s">
        <v>25</v>
      </c>
      <c r="G57">
        <f>G50</f>
        <v>0</v>
      </c>
    </row>
    <row r="58" spans="6:8" x14ac:dyDescent="0.35">
      <c r="F58" s="6" t="s">
        <v>22</v>
      </c>
      <c r="G58">
        <f>G51</f>
        <v>-862.5</v>
      </c>
    </row>
    <row r="59" spans="6:8" x14ac:dyDescent="0.35">
      <c r="F59" s="9" t="s">
        <v>58</v>
      </c>
      <c r="G59" s="2">
        <f>G56+G52</f>
        <v>10906.73076923077</v>
      </c>
      <c r="H5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03AF-99E8-4755-82B3-8F369EFACA3A}">
  <dimension ref="B8:I19"/>
  <sheetViews>
    <sheetView workbookViewId="0">
      <selection activeCell="H16" sqref="H16"/>
    </sheetView>
  </sheetViews>
  <sheetFormatPr defaultRowHeight="14.5" x14ac:dyDescent="0.35"/>
  <sheetData>
    <row r="8" spans="2:9" x14ac:dyDescent="0.35">
      <c r="B8">
        <v>3500</v>
      </c>
      <c r="C8">
        <v>7500</v>
      </c>
      <c r="D8">
        <v>2400</v>
      </c>
      <c r="E8">
        <v>2200</v>
      </c>
      <c r="F8">
        <v>1800</v>
      </c>
      <c r="G8">
        <v>1500</v>
      </c>
      <c r="H8">
        <v>3200</v>
      </c>
    </row>
    <row r="9" spans="2:9" x14ac:dyDescent="0.35">
      <c r="B9">
        <v>1266.9680000000001</v>
      </c>
      <c r="C9">
        <v>2714.9319999999998</v>
      </c>
      <c r="D9">
        <v>868.77800000000002</v>
      </c>
      <c r="E9">
        <v>796.38</v>
      </c>
      <c r="F9">
        <v>651.58399999999995</v>
      </c>
      <c r="G9">
        <v>542.98599999999999</v>
      </c>
      <c r="H9">
        <v>1158.3710000000001</v>
      </c>
    </row>
    <row r="10" spans="2:9" x14ac:dyDescent="0.35">
      <c r="B10">
        <f t="shared" ref="B10:H10" si="0">B9/B8</f>
        <v>0.36199085714285717</v>
      </c>
      <c r="C10">
        <f t="shared" si="0"/>
        <v>0.36199093333333332</v>
      </c>
      <c r="D10">
        <f t="shared" si="0"/>
        <v>0.36199083333333332</v>
      </c>
      <c r="E10">
        <f t="shared" si="0"/>
        <v>0.36199090909090909</v>
      </c>
      <c r="F10">
        <f t="shared" si="0"/>
        <v>0.3619911111111111</v>
      </c>
      <c r="G10">
        <f t="shared" si="0"/>
        <v>0.36199066666666668</v>
      </c>
      <c r="H10">
        <f t="shared" si="0"/>
        <v>0.36199093750000005</v>
      </c>
    </row>
    <row r="16" spans="2:9" x14ac:dyDescent="0.35">
      <c r="H16">
        <v>24</v>
      </c>
      <c r="I16" t="s">
        <v>59</v>
      </c>
    </row>
    <row r="17" spans="8:8" x14ac:dyDescent="0.35">
      <c r="H17">
        <f>1500*24/26</f>
        <v>1384.6153846153845</v>
      </c>
    </row>
    <row r="18" spans="8:8" x14ac:dyDescent="0.35">
      <c r="H18">
        <f>100*24/26</f>
        <v>92.307692307692307</v>
      </c>
    </row>
    <row r="19" spans="8:8" x14ac:dyDescent="0.35">
      <c r="H19">
        <f>70*24/26</f>
        <v>64.615384615384613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Ehab Harb</dc:creator>
  <cp:lastModifiedBy>Ehab Harb</cp:lastModifiedBy>
  <dcterms:created xsi:type="dcterms:W3CDTF">2026-02-25T20:58:34Z</dcterms:created>
  <dcterms:modified xsi:type="dcterms:W3CDTF">2026-09-21T12:31:17Z</dcterms:modified>
</cp:coreProperties>
</file>